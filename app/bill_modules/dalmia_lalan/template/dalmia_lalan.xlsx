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enakshi\Downloads\"/>
    </mc:Choice>
  </mc:AlternateContent>
  <xr:revisionPtr revIDLastSave="0" documentId="8_{BFB2E090-4CF0-4AAE-9CBA-BAAC174A7241}" xr6:coauthVersionLast="47" xr6:coauthVersionMax="47" xr10:uidLastSave="{00000000-0000-0000-0000-000000000000}"/>
  <bookViews>
    <workbookView xWindow="-98" yWindow="-98" windowWidth="22695" windowHeight="14476" xr2:uid="{EDBDBE78-D0D9-4EB7-9531-E4393B98DE41}"/>
  </bookViews>
  <sheets>
    <sheet name="Format Dalmia -lalan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0" l="1"/>
  <c r="D21" i="10"/>
  <c r="F22" i="10" l="1"/>
  <c r="F23" i="10"/>
  <c r="F24" i="10" l="1"/>
</calcChain>
</file>

<file path=xl/sharedStrings.xml><?xml version="1.0" encoding="utf-8"?>
<sst xmlns="http://schemas.openxmlformats.org/spreadsheetml/2006/main" count="55" uniqueCount="55">
  <si>
    <t>GODOWN BILL - Shahpur</t>
  </si>
  <si>
    <t xml:space="preserve">ORIGINAL FOR RECIPIENT </t>
  </si>
  <si>
    <t>TAX INVOICE</t>
  </si>
  <si>
    <t>Issued under CGST Act/IGST Act/SGST Act/UTGST Act,2017</t>
  </si>
  <si>
    <t>SERVICE PROVIDER</t>
  </si>
  <si>
    <t>RECIPIENT (Bill to)</t>
  </si>
  <si>
    <t xml:space="preserve">Tax Invoice No. :  </t>
  </si>
  <si>
    <t>LPJ/26-27/D</t>
  </si>
  <si>
    <t>Date of Invoice:</t>
  </si>
  <si>
    <t>Name:</t>
  </si>
  <si>
    <t>Lalan Prasad Jaiswal</t>
  </si>
  <si>
    <t>Dalmia Cement (Bharat) Limited</t>
  </si>
  <si>
    <t>Place :</t>
  </si>
  <si>
    <t>Daltonganj</t>
  </si>
  <si>
    <t>Add:</t>
  </si>
  <si>
    <t>Mathura Kunj, Nawatoli, Daltonganj
Jharkhand - 822101</t>
  </si>
  <si>
    <t>1st Floor, Landmark Apartment</t>
  </si>
  <si>
    <t>State :</t>
  </si>
  <si>
    <t>Jharkhand</t>
  </si>
  <si>
    <t>Road No. 5, Hawai Nagar, Ranchi</t>
  </si>
  <si>
    <t>Time Period:</t>
  </si>
  <si>
    <t>Jharkhand - 834003</t>
  </si>
  <si>
    <t xml:space="preserve">STATE CODE: </t>
  </si>
  <si>
    <t>STATE CODE: 20</t>
  </si>
  <si>
    <t xml:space="preserve">GSTIN : </t>
  </si>
  <si>
    <t>20ABRPJ0308E2Z9</t>
  </si>
  <si>
    <t>PAN NO. AADCA9414C</t>
  </si>
  <si>
    <t>PAN No:</t>
  </si>
  <si>
    <t>ABRPJ0308E</t>
  </si>
  <si>
    <t>GSTIN : 20AADCA9414C1ZD</t>
  </si>
  <si>
    <t xml:space="preserve">HSN :   </t>
  </si>
  <si>
    <t xml:space="preserve">DESCRIPTION OF SERVICE : GODOWN RENT </t>
  </si>
  <si>
    <t>SL #</t>
  </si>
  <si>
    <t>Particulars</t>
  </si>
  <si>
    <t>Qty/Area</t>
  </si>
  <si>
    <t>Rate</t>
  </si>
  <si>
    <t>Amount</t>
  </si>
  <si>
    <t>Gowdown Rent</t>
  </si>
  <si>
    <t>SGST @ 9 %</t>
  </si>
  <si>
    <t>CGST @ 9 %</t>
  </si>
  <si>
    <t>Total Invoice Value</t>
  </si>
  <si>
    <t>Amt in Word:</t>
  </si>
  <si>
    <t>Ninty One Thousand sixty seven only</t>
  </si>
  <si>
    <t>BANK DETAILS</t>
  </si>
  <si>
    <t>Bank Name</t>
  </si>
  <si>
    <t> HDFC Bank Ltd</t>
  </si>
  <si>
    <t>A/c Name</t>
  </si>
  <si>
    <t>LALAN PRASAD JAISWAL</t>
  </si>
  <si>
    <t xml:space="preserve">A/C No. </t>
  </si>
  <si>
    <t>Branch</t>
  </si>
  <si>
    <t>SECTOR 61 NOIDA</t>
  </si>
  <si>
    <t>IFSC</t>
  </si>
  <si>
    <t>HDFC0004263</t>
  </si>
  <si>
    <t>(AUTHORISED SIGNATORY)</t>
  </si>
  <si>
    <t>This is System Generated Invoice and does not require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</si>
</sst>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0_-;\-* #,##0.00_-;_-* &quot;-&quot;??_-;_-@_-"/>
    <numFmt numFmtId="166" formatCode="_(* #,##0.000_);_(* \(#,##0.000\);_(* &quot;-&quot;??_);_(@_)"/>
    <numFmt numFmtId="167" formatCode="_(* #,##0_);_(* \(#,##0\);_(* &quot;-&quot;??_);_(@_)"/>
    <numFmt numFmtId="168" formatCode="0_ "/>
    <numFmt numFmtId="169" formatCode="0.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222222"/>
      <name val="Arial"/>
      <family val="2"/>
    </font>
    <font>
      <b/>
      <sz val="11"/>
      <color rgb="FF222222"/>
      <name val="Arial"/>
      <family val="2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02">
    <xf numFmtId="0" fontId="0" fillId="0" borderId="0" xfId="0"/>
    <xf numFmtId="0" fontId="2" fillId="0" borderId="19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3" xfId="0" applyBorder="1" applyAlignment="1">
      <alignment vertical="center"/>
    </xf>
    <xf numFmtId="0" fontId="5" fillId="0" borderId="15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0" fillId="0" borderId="15" xfId="0" applyBorder="1"/>
    <xf numFmtId="0" fontId="5" fillId="0" borderId="0" xfId="0" applyFont="1" applyAlignment="1">
      <alignment vertical="center"/>
    </xf>
    <xf numFmtId="0" fontId="0" fillId="0" borderId="18" xfId="0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0" fillId="0" borderId="18" xfId="0" applyBorder="1"/>
    <xf numFmtId="0" fontId="0" fillId="0" borderId="0" xfId="0" applyAlignment="1">
      <alignment vertical="center"/>
    </xf>
    <xf numFmtId="0" fontId="0" fillId="0" borderId="19" xfId="0" applyBorder="1" applyAlignment="1">
      <alignment horizontal="left" vertical="center"/>
    </xf>
    <xf numFmtId="0" fontId="7" fillId="2" borderId="20" xfId="0" applyFont="1" applyFill="1" applyBorder="1" applyAlignment="1">
      <alignment vertical="center"/>
    </xf>
    <xf numFmtId="166" fontId="7" fillId="2" borderId="21" xfId="1" applyNumberFormat="1" applyFont="1" applyFill="1" applyBorder="1" applyAlignment="1">
      <alignment vertical="center"/>
    </xf>
    <xf numFmtId="166" fontId="7" fillId="2" borderId="22" xfId="1" applyNumberFormat="1" applyFont="1" applyFill="1" applyBorder="1" applyAlignment="1">
      <alignment vertical="center"/>
    </xf>
    <xf numFmtId="165" fontId="7" fillId="2" borderId="23" xfId="1" applyFont="1" applyFill="1" applyBorder="1" applyAlignment="1">
      <alignment vertical="center"/>
    </xf>
    <xf numFmtId="167" fontId="7" fillId="2" borderId="24" xfId="1" applyNumberFormat="1" applyFont="1" applyFill="1" applyBorder="1" applyAlignment="1">
      <alignment vertical="center"/>
    </xf>
    <xf numFmtId="0" fontId="8" fillId="2" borderId="30" xfId="0" applyFont="1" applyFill="1" applyBorder="1" applyAlignment="1">
      <alignment vertical="center"/>
    </xf>
    <xf numFmtId="164" fontId="5" fillId="0" borderId="33" xfId="0" applyNumberFormat="1" applyFont="1" applyBorder="1" applyAlignment="1">
      <alignment vertical="center"/>
    </xf>
    <xf numFmtId="166" fontId="7" fillId="2" borderId="34" xfId="1" applyNumberFormat="1" applyFont="1" applyFill="1" applyBorder="1" applyAlignment="1">
      <alignment vertical="center"/>
    </xf>
    <xf numFmtId="167" fontId="5" fillId="0" borderId="33" xfId="0" applyNumberFormat="1" applyFont="1" applyBorder="1" applyAlignment="1">
      <alignment vertical="center"/>
    </xf>
    <xf numFmtId="0" fontId="0" fillId="0" borderId="15" xfId="0" applyBorder="1" applyAlignment="1">
      <alignment vertical="center"/>
    </xf>
    <xf numFmtId="0" fontId="5" fillId="2" borderId="28" xfId="0" applyFont="1" applyFill="1" applyBorder="1" applyAlignment="1">
      <alignment vertical="center"/>
    </xf>
    <xf numFmtId="0" fontId="5" fillId="0" borderId="28" xfId="0" applyFont="1" applyBorder="1" applyAlignment="1">
      <alignment vertical="center"/>
    </xf>
    <xf numFmtId="167" fontId="4" fillId="0" borderId="29" xfId="0" applyNumberFormat="1" applyFont="1" applyBorder="1" applyAlignment="1">
      <alignment vertical="center"/>
    </xf>
    <xf numFmtId="0" fontId="5" fillId="2" borderId="34" xfId="0" applyFont="1" applyFill="1" applyBorder="1" applyAlignment="1">
      <alignment vertical="center"/>
    </xf>
    <xf numFmtId="0" fontId="5" fillId="0" borderId="34" xfId="0" applyFont="1" applyBorder="1" applyAlignment="1">
      <alignment vertical="center"/>
    </xf>
    <xf numFmtId="167" fontId="4" fillId="0" borderId="33" xfId="0" applyNumberFormat="1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167" fontId="5" fillId="0" borderId="36" xfId="0" applyNumberFormat="1" applyFont="1" applyBorder="1" applyAlignment="1">
      <alignment vertical="center"/>
    </xf>
    <xf numFmtId="0" fontId="0" fillId="2" borderId="0" xfId="0" applyFill="1" applyAlignment="1">
      <alignment vertical="center"/>
    </xf>
    <xf numFmtId="0" fontId="5" fillId="2" borderId="0" xfId="0" applyFont="1" applyFill="1" applyAlignment="1">
      <alignment vertical="center"/>
    </xf>
    <xf numFmtId="165" fontId="4" fillId="2" borderId="18" xfId="1" applyFont="1" applyFill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39" xfId="0" applyFill="1" applyBorder="1" applyAlignment="1">
      <alignment vertical="center"/>
    </xf>
    <xf numFmtId="0" fontId="0" fillId="2" borderId="40" xfId="0" applyFill="1" applyBorder="1" applyAlignment="1">
      <alignment vertical="center"/>
    </xf>
    <xf numFmtId="0" fontId="0" fillId="2" borderId="41" xfId="0" applyFill="1" applyBorder="1" applyAlignment="1">
      <alignment vertical="center"/>
    </xf>
    <xf numFmtId="0" fontId="0" fillId="0" borderId="0" xfId="0" applyAlignment="1">
      <alignment horizontal="left" vertical="center"/>
    </xf>
    <xf numFmtId="0" fontId="5" fillId="0" borderId="43" xfId="0" applyFont="1" applyBorder="1" applyAlignment="1">
      <alignment vertical="center"/>
    </xf>
    <xf numFmtId="0" fontId="6" fillId="0" borderId="17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17" xfId="0" applyBorder="1" applyAlignment="1">
      <alignment vertical="center"/>
    </xf>
    <xf numFmtId="0" fontId="2" fillId="2" borderId="29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2" fillId="2" borderId="42" xfId="0" applyFont="1" applyFill="1" applyBorder="1" applyAlignment="1">
      <alignment vertical="center"/>
    </xf>
    <xf numFmtId="0" fontId="5" fillId="2" borderId="15" xfId="0" applyFont="1" applyFill="1" applyBorder="1" applyAlignment="1">
      <alignment horizontal="left" vertical="top"/>
    </xf>
    <xf numFmtId="0" fontId="12" fillId="0" borderId="16" xfId="0" applyFont="1" applyBorder="1" applyAlignment="1">
      <alignment vertical="center"/>
    </xf>
    <xf numFmtId="0" fontId="13" fillId="2" borderId="16" xfId="0" applyFont="1" applyFill="1" applyBorder="1" applyAlignment="1">
      <alignment vertical="center"/>
    </xf>
    <xf numFmtId="0" fontId="15" fillId="0" borderId="0" xfId="0" applyFont="1" applyAlignment="1">
      <alignment vertical="center" wrapText="1"/>
    </xf>
    <xf numFmtId="1" fontId="15" fillId="0" borderId="0" xfId="0" applyNumberFormat="1" applyFont="1" applyAlignment="1">
      <alignment horizontal="left" vertical="center" wrapText="1"/>
    </xf>
    <xf numFmtId="0" fontId="14" fillId="0" borderId="0" xfId="0" applyFont="1"/>
    <xf numFmtId="0" fontId="10" fillId="2" borderId="15" xfId="0" applyFont="1" applyFill="1" applyBorder="1" applyAlignment="1">
      <alignment horizontal="left" vertical="top"/>
    </xf>
    <xf numFmtId="0" fontId="16" fillId="0" borderId="0" xfId="0" applyFont="1"/>
    <xf numFmtId="169" fontId="7" fillId="2" borderId="31" xfId="0" applyNumberFormat="1" applyFont="1" applyFill="1" applyBorder="1" applyAlignment="1">
      <alignment vertical="center"/>
    </xf>
    <xf numFmtId="169" fontId="7" fillId="2" borderId="32" xfId="0" applyNumberFormat="1" applyFont="1" applyFill="1" applyBorder="1" applyAlignment="1">
      <alignment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vertical="center"/>
    </xf>
    <xf numFmtId="0" fontId="10" fillId="2" borderId="11" xfId="0" applyFont="1" applyFill="1" applyBorder="1" applyAlignment="1">
      <alignment vertical="center"/>
    </xf>
    <xf numFmtId="0" fontId="10" fillId="2" borderId="12" xfId="0" applyFont="1" applyFill="1" applyBorder="1" applyAlignment="1">
      <alignment vertical="center"/>
    </xf>
    <xf numFmtId="0" fontId="8" fillId="2" borderId="1" xfId="1" applyNumberFormat="1" applyFont="1" applyFill="1" applyBorder="1" applyAlignment="1">
      <alignment horizontal="center" vertical="center"/>
    </xf>
    <xf numFmtId="0" fontId="8" fillId="2" borderId="7" xfId="1" applyNumberFormat="1" applyFont="1" applyFill="1" applyBorder="1" applyAlignment="1">
      <alignment horizontal="center" vertical="center"/>
    </xf>
    <xf numFmtId="165" fontId="11" fillId="2" borderId="2" xfId="1" applyFont="1" applyFill="1" applyBorder="1" applyAlignment="1">
      <alignment horizontal="left" vertical="center"/>
    </xf>
    <xf numFmtId="165" fontId="11" fillId="2" borderId="25" xfId="1" applyFont="1" applyFill="1" applyBorder="1" applyAlignment="1">
      <alignment horizontal="left" vertical="center"/>
    </xf>
    <xf numFmtId="165" fontId="11" fillId="2" borderId="8" xfId="1" applyFont="1" applyFill="1" applyBorder="1" applyAlignment="1">
      <alignment horizontal="left" vertical="center"/>
    </xf>
    <xf numFmtId="165" fontId="11" fillId="2" borderId="19" xfId="1" applyFont="1" applyFill="1" applyBorder="1" applyAlignment="1">
      <alignment horizontal="left" vertical="center"/>
    </xf>
    <xf numFmtId="168" fontId="8" fillId="2" borderId="26" xfId="1" applyNumberFormat="1" applyFont="1" applyFill="1" applyBorder="1" applyAlignment="1">
      <alignment horizontal="center" vertical="center"/>
    </xf>
    <xf numFmtId="168" fontId="8" fillId="2" borderId="28" xfId="1" applyNumberFormat="1" applyFont="1" applyFill="1" applyBorder="1" applyAlignment="1">
      <alignment horizontal="center" vertical="center"/>
    </xf>
    <xf numFmtId="165" fontId="8" fillId="2" borderId="26" xfId="1" applyFont="1" applyFill="1" applyBorder="1" applyAlignment="1">
      <alignment horizontal="center" vertical="center"/>
    </xf>
    <xf numFmtId="165" fontId="8" fillId="2" borderId="28" xfId="1" applyFont="1" applyFill="1" applyBorder="1" applyAlignment="1">
      <alignment horizontal="center" vertical="center"/>
    </xf>
    <xf numFmtId="167" fontId="8" fillId="2" borderId="27" xfId="1" applyNumberFormat="1" applyFont="1" applyFill="1" applyBorder="1" applyAlignment="1">
      <alignment horizontal="center" vertical="center"/>
    </xf>
    <xf numFmtId="167" fontId="8" fillId="2" borderId="29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18" xfId="0" applyBorder="1" applyAlignment="1">
      <alignment horizontal="left" vertical="top"/>
    </xf>
    <xf numFmtId="0" fontId="3" fillId="0" borderId="16" xfId="0" applyFont="1" applyBorder="1" applyAlignment="1">
      <alignment horizontal="left" vertical="top" wrapText="1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14" fontId="12" fillId="0" borderId="0" xfId="0" applyNumberFormat="1" applyFont="1" applyAlignment="1">
      <alignment horizontal="left" vertical="top"/>
    </xf>
    <xf numFmtId="0" fontId="12" fillId="0" borderId="18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17" fillId="0" borderId="0" xfId="0" applyFont="1"/>
  </cellXfs>
  <cellStyles count="2">
    <cellStyle name="Comma 2" xfId="1" xr:uid="{CBD1C39D-5B90-4709-A142-5D261B377B3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1671734</xdr:colOff>
      <xdr:row>26</xdr:row>
      <xdr:rowOff>125420</xdr:rowOff>
    </xdr:from>
    <xdr:to>
      <xdr:col>4</xdr:col>
      <xdr:colOff>18076</xdr:colOff>
      <xdr:row>28</xdr:row>
      <xdr:rowOff>164443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823536-BF22-49C4-BD18-6EBEEC051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676747" y="4873633"/>
          <a:ext cx="1732480" cy="4581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E89E7-8346-4132-8262-0D6255A131CF}">
  <dimension ref="A1:F35"/>
  <sheetViews>
    <sheetView showGridLines="0" tabSelected="1" topLeftCell="A2" zoomScaleNormal="100" workbookViewId="0">
      <selection activeCell="I18" sqref="I18"/>
    </sheetView>
  </sheetViews>
  <sheetFormatPr defaultColWidth="8.85546875" defaultRowHeight="14.25"/>
  <cols>
    <col min="1" max="1" width="10.5703125" customWidth="1"/>
    <col min="2" max="2" width="26.85546875" customWidth="1"/>
    <col min="3" max="3" width="32.140625" customWidth="1"/>
    <col min="4" max="4" width="15.140625" customWidth="1"/>
    <col min="5" max="5" width="6.85546875" customWidth="1"/>
    <col min="6" max="6" width="8.140625" customWidth="1"/>
  </cols>
  <sheetData>
    <row r="1" spans="1:6">
      <c r="A1" s="91" t="s">
        <v>0</v>
      </c>
      <c r="B1" s="92"/>
      <c r="C1" s="2"/>
      <c r="D1" s="2"/>
      <c r="E1" s="2"/>
      <c r="F1" s="3"/>
    </row>
    <row r="2" spans="1:6">
      <c r="A2" s="4"/>
      <c r="B2" s="5"/>
      <c r="C2" s="5"/>
      <c r="D2" s="93" t="s">
        <v>1</v>
      </c>
      <c r="E2" s="93"/>
      <c r="F2" s="94"/>
    </row>
    <row r="3" spans="1:6" ht="14.65" thickBot="1">
      <c r="A3" s="95" t="s">
        <v>2</v>
      </c>
      <c r="B3" s="96"/>
      <c r="C3" s="96"/>
      <c r="D3" s="96"/>
      <c r="E3" s="96"/>
      <c r="F3" s="97"/>
    </row>
    <row r="4" spans="1:6">
      <c r="A4" s="85" t="s">
        <v>3</v>
      </c>
      <c r="B4" s="86"/>
      <c r="C4" s="86"/>
      <c r="D4" s="86"/>
      <c r="E4" s="86"/>
      <c r="F4" s="87"/>
    </row>
    <row r="5" spans="1:6">
      <c r="A5" s="6"/>
      <c r="B5" s="7"/>
      <c r="C5" s="7"/>
      <c r="D5" s="88"/>
      <c r="E5" s="89"/>
      <c r="F5" s="90"/>
    </row>
    <row r="6" spans="1:6" ht="15.75">
      <c r="A6" s="8" t="s">
        <v>4</v>
      </c>
      <c r="B6" s="9"/>
      <c r="C6" s="10" t="s">
        <v>5</v>
      </c>
      <c r="D6" s="11" t="s">
        <v>6</v>
      </c>
      <c r="E6" s="100" t="s">
        <v>7</v>
      </c>
      <c r="F6" s="99"/>
    </row>
    <row r="7" spans="1:6" ht="15.75">
      <c r="A7" s="12"/>
      <c r="B7" s="9"/>
      <c r="D7" s="11" t="s">
        <v>8</v>
      </c>
      <c r="E7" s="98"/>
      <c r="F7" s="99"/>
    </row>
    <row r="8" spans="1:6" ht="15.75">
      <c r="A8" s="8" t="s">
        <v>9</v>
      </c>
      <c r="B8" s="56" t="s">
        <v>10</v>
      </c>
      <c r="C8" s="57" t="s">
        <v>11</v>
      </c>
      <c r="D8" s="13" t="s">
        <v>12</v>
      </c>
      <c r="E8" s="82" t="s">
        <v>13</v>
      </c>
      <c r="F8" s="83"/>
    </row>
    <row r="9" spans="1:6" ht="14.45" customHeight="1">
      <c r="A9" s="8" t="s">
        <v>14</v>
      </c>
      <c r="B9" s="84" t="s">
        <v>15</v>
      </c>
      <c r="C9" s="15" t="s">
        <v>16</v>
      </c>
      <c r="D9" s="13" t="s">
        <v>17</v>
      </c>
      <c r="E9" s="82" t="s">
        <v>18</v>
      </c>
      <c r="F9" s="83"/>
    </row>
    <row r="10" spans="1:6" ht="14.45" customHeight="1">
      <c r="A10" s="16"/>
      <c r="B10" s="84"/>
      <c r="C10" s="15" t="s">
        <v>19</v>
      </c>
      <c r="D10" s="101" t="s">
        <v>20</v>
      </c>
      <c r="F10" s="17"/>
    </row>
    <row r="11" spans="1:6" ht="14.45" customHeight="1">
      <c r="A11" s="16"/>
      <c r="B11" s="84"/>
      <c r="C11" s="15" t="s">
        <v>21</v>
      </c>
      <c r="D11" s="18"/>
      <c r="E11" s="18"/>
      <c r="F11" s="14"/>
    </row>
    <row r="12" spans="1:6">
      <c r="A12" s="16"/>
      <c r="B12" s="15"/>
      <c r="C12" s="15"/>
      <c r="D12" s="18"/>
      <c r="E12" s="18"/>
      <c r="F12" s="14"/>
    </row>
    <row r="13" spans="1:6">
      <c r="A13" s="8" t="s">
        <v>22</v>
      </c>
      <c r="B13" s="46">
        <v>20</v>
      </c>
      <c r="C13" s="47" t="s">
        <v>23</v>
      </c>
      <c r="D13" s="18"/>
      <c r="E13" s="18"/>
      <c r="F13" s="14"/>
    </row>
    <row r="14" spans="1:6">
      <c r="A14" s="8" t="s">
        <v>24</v>
      </c>
      <c r="B14" t="s">
        <v>25</v>
      </c>
      <c r="C14" s="48" t="s">
        <v>26</v>
      </c>
      <c r="D14" s="50"/>
      <c r="E14" s="18"/>
      <c r="F14" s="14"/>
    </row>
    <row r="15" spans="1:6">
      <c r="A15" s="8" t="s">
        <v>27</v>
      </c>
      <c r="B15" s="9" t="s">
        <v>28</v>
      </c>
      <c r="C15" s="49" t="s">
        <v>29</v>
      </c>
      <c r="D15" s="50"/>
      <c r="E15" s="18"/>
      <c r="F15" s="14"/>
    </row>
    <row r="16" spans="1:6">
      <c r="A16" s="8" t="s">
        <v>30</v>
      </c>
      <c r="B16" s="19">
        <v>997212</v>
      </c>
      <c r="C16" s="1"/>
      <c r="D16" s="18"/>
      <c r="E16" s="18"/>
      <c r="F16" s="14"/>
    </row>
    <row r="17" spans="1:6" ht="14.65" thickBot="1">
      <c r="A17" s="67" t="s">
        <v>31</v>
      </c>
      <c r="B17" s="68"/>
      <c r="C17" s="68"/>
      <c r="D17" s="68"/>
      <c r="E17" s="68"/>
      <c r="F17" s="69"/>
    </row>
    <row r="18" spans="1:6" ht="14.65" thickBot="1">
      <c r="A18" s="20" t="s">
        <v>32</v>
      </c>
      <c r="B18" s="21" t="s">
        <v>33</v>
      </c>
      <c r="C18" s="22"/>
      <c r="D18" s="23" t="s">
        <v>34</v>
      </c>
      <c r="E18" s="23" t="s">
        <v>35</v>
      </c>
      <c r="F18" s="24" t="s">
        <v>36</v>
      </c>
    </row>
    <row r="19" spans="1:6">
      <c r="A19" s="70">
        <v>1</v>
      </c>
      <c r="B19" s="72" t="s">
        <v>37</v>
      </c>
      <c r="C19" s="73"/>
      <c r="D19" s="76"/>
      <c r="E19" s="78"/>
      <c r="F19" s="80">
        <v>77175</v>
      </c>
    </row>
    <row r="20" spans="1:6">
      <c r="A20" s="71"/>
      <c r="B20" s="74"/>
      <c r="C20" s="75"/>
      <c r="D20" s="77"/>
      <c r="E20" s="79"/>
      <c r="F20" s="81"/>
    </row>
    <row r="21" spans="1:6" ht="14.65" thickBot="1">
      <c r="A21" s="25"/>
      <c r="B21" s="63"/>
      <c r="C21" s="64"/>
      <c r="D21" s="26">
        <f>D19</f>
        <v>0</v>
      </c>
      <c r="E21" s="27"/>
      <c r="F21" s="28">
        <f>SUM(F19:F20)</f>
        <v>77175</v>
      </c>
    </row>
    <row r="22" spans="1:6" ht="14.65" thickTop="1">
      <c r="A22" s="29"/>
      <c r="B22" s="18"/>
      <c r="C22" s="18"/>
      <c r="D22" s="30" t="s">
        <v>38</v>
      </c>
      <c r="E22" s="31"/>
      <c r="F22" s="32">
        <f>F21*9%</f>
        <v>6945.75</v>
      </c>
    </row>
    <row r="23" spans="1:6" ht="14.65" thickBot="1">
      <c r="A23" s="29"/>
      <c r="B23" s="18"/>
      <c r="C23" s="18"/>
      <c r="D23" s="33" t="s">
        <v>39</v>
      </c>
      <c r="E23" s="34"/>
      <c r="F23" s="35">
        <f>F21*9%</f>
        <v>6945.75</v>
      </c>
    </row>
    <row r="24" spans="1:6" ht="15" thickTop="1" thickBot="1">
      <c r="A24" s="29"/>
      <c r="B24" s="18"/>
      <c r="C24" s="18"/>
      <c r="D24" s="36" t="s">
        <v>40</v>
      </c>
      <c r="E24" s="36"/>
      <c r="F24" s="37">
        <f>ROUND(SUM(F21:F23),0)</f>
        <v>91067</v>
      </c>
    </row>
    <row r="25" spans="1:6" ht="14.65" thickTop="1">
      <c r="A25" s="65" t="s">
        <v>41</v>
      </c>
      <c r="B25" s="66"/>
      <c r="C25" s="54" t="s">
        <v>42</v>
      </c>
      <c r="D25" s="52"/>
      <c r="E25" s="53"/>
      <c r="F25" s="51"/>
    </row>
    <row r="26" spans="1:6">
      <c r="C26" s="38"/>
      <c r="D26" s="39"/>
      <c r="E26" s="38"/>
      <c r="F26" s="40"/>
    </row>
    <row r="27" spans="1:6" ht="18">
      <c r="A27" s="60" t="s">
        <v>43</v>
      </c>
      <c r="C27" s="38"/>
      <c r="D27" s="39"/>
      <c r="E27" s="38"/>
      <c r="F27" s="40"/>
    </row>
    <row r="28" spans="1:6" ht="15">
      <c r="A28" s="55" t="s">
        <v>44</v>
      </c>
      <c r="B28" s="58" t="s">
        <v>45</v>
      </c>
      <c r="C28" s="38"/>
      <c r="D28" s="39"/>
      <c r="E28" s="38"/>
      <c r="F28" s="40"/>
    </row>
    <row r="29" spans="1:6">
      <c r="A29" s="61" t="s">
        <v>46</v>
      </c>
      <c r="B29" s="62" t="s">
        <v>47</v>
      </c>
      <c r="C29" s="38"/>
      <c r="D29" s="39"/>
      <c r="E29" s="38"/>
      <c r="F29" s="40"/>
    </row>
    <row r="30" spans="1:6" ht="15">
      <c r="A30" s="55" t="s">
        <v>48</v>
      </c>
      <c r="B30" s="59">
        <v>50100654675370</v>
      </c>
      <c r="C30" s="39"/>
      <c r="D30" s="38"/>
      <c r="E30" s="38"/>
      <c r="F30" s="41"/>
    </row>
    <row r="31" spans="1:6" ht="15">
      <c r="A31" s="55" t="s">
        <v>49</v>
      </c>
      <c r="B31" s="59" t="s">
        <v>50</v>
      </c>
      <c r="C31" s="42"/>
      <c r="D31" s="38"/>
      <c r="E31" s="38"/>
      <c r="F31" s="41"/>
    </row>
    <row r="32" spans="1:6" ht="15">
      <c r="A32" s="55" t="s">
        <v>51</v>
      </c>
      <c r="B32" s="59" t="s">
        <v>52</v>
      </c>
      <c r="C32" s="42"/>
      <c r="D32" s="39" t="s">
        <v>53</v>
      </c>
      <c r="E32" s="38"/>
      <c r="F32" s="41"/>
    </row>
    <row r="33" spans="1:6" ht="14.65" thickBot="1">
      <c r="A33" s="43"/>
      <c r="B33" s="44"/>
      <c r="C33" s="44"/>
      <c r="D33" s="44"/>
      <c r="E33" s="44"/>
      <c r="F33" s="45"/>
    </row>
    <row r="35" spans="1:6">
      <c r="A35" s="55" t="s">
        <v>54</v>
      </c>
    </row>
  </sheetData>
  <mergeCells count="18">
    <mergeCell ref="E6:F6"/>
    <mergeCell ref="A1:B1"/>
    <mergeCell ref="D2:F2"/>
    <mergeCell ref="A3:F3"/>
    <mergeCell ref="A4:F4"/>
    <mergeCell ref="D5:F5"/>
    <mergeCell ref="B21:C21"/>
    <mergeCell ref="A25:B25"/>
    <mergeCell ref="E7:F7"/>
    <mergeCell ref="E8:F8"/>
    <mergeCell ref="B9:B11"/>
    <mergeCell ref="E9:F9"/>
    <mergeCell ref="A17:F17"/>
    <mergeCell ref="A19:A20"/>
    <mergeCell ref="B19:C20"/>
    <mergeCell ref="D19:D20"/>
    <mergeCell ref="E19:E20"/>
    <mergeCell ref="F19:F20"/>
  </mergeCells>
  <pageMargins left="0.7" right="0.7" top="0.75" bottom="0.75" header="0.3" footer="0.3"/>
  <pageSetup orientation="portrait" r:id="rId1"/>
  <headerFooter>
    <oddFooter>&amp;C_x000D_&amp;1#&amp;"Arial"&amp;7&amp;K7f7f7f General</oddFooter>
  </headerFooter>
  <drawing r:id="rId2"/>
</worksheet>
</file>

<file path=docMetadata/LabelInfo.xml><?xml version="1.0" encoding="utf-8"?>
<clbl:labelList xmlns:clbl="http://schemas.microsoft.com/office/2020/mipLabelMetadata">
  <clbl:label id="{8da18c88-b9f1-4edd-827a-e9cbd1e82602}" enabled="1" method="Privileged" siteId="{6330c6f9-dc69-49d1-96ff-12ead407277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Sidel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Jaizz, Mayank [EXTERNAL]</dc:creator>
  <cp:keywords/>
  <dc:description/>
  <cp:lastModifiedBy/>
  <cp:revision/>
  <dcterms:created xsi:type="dcterms:W3CDTF">2024-07-15T08:53:07Z</dcterms:created>
  <dcterms:modified xsi:type="dcterms:W3CDTF">2026-10-04T16:16:55Z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480757-a570-4f64-84e7-c5b3ffe9d573_Enabled">
    <vt:lpwstr>true</vt:lpwstr>
  </property>
  <property fmtid="{D5CDD505-2E9C-101B-9397-08002B2CF9AE}" pid="3" name="MSIP_Label_94480757-a570-4f64-84e7-c5b3ffe9d573_SetDate">
    <vt:lpwstr>2024-07-16T03:26:52Z</vt:lpwstr>
  </property>
  <property fmtid="{D5CDD505-2E9C-101B-9397-08002B2CF9AE}" pid="4" name="MSIP_Label_94480757-a570-4f64-84e7-c5b3ffe9d573_Method">
    <vt:lpwstr>Privileged</vt:lpwstr>
  </property>
  <property fmtid="{D5CDD505-2E9C-101B-9397-08002B2CF9AE}" pid="5" name="MSIP_Label_94480757-a570-4f64-84e7-c5b3ffe9d573_Name">
    <vt:lpwstr>General</vt:lpwstr>
  </property>
  <property fmtid="{D5CDD505-2E9C-101B-9397-08002B2CF9AE}" pid="6" name="MSIP_Label_94480757-a570-4f64-84e7-c5b3ffe9d573_SiteId">
    <vt:lpwstr>2390cbd1-e663-4321-bc93-ba298637ce52</vt:lpwstr>
  </property>
  <property fmtid="{D5CDD505-2E9C-101B-9397-08002B2CF9AE}" pid="7" name="MSIP_Label_94480757-a570-4f64-84e7-c5b3ffe9d573_ActionId">
    <vt:lpwstr>250d7435-9bf4-45cc-831a-14820e8282f9</vt:lpwstr>
  </property>
  <property fmtid="{D5CDD505-2E9C-101B-9397-08002B2CF9AE}" pid="8" name="MSIP_Label_94480757-a570-4f64-84e7-c5b3ffe9d573_ContentBits">
    <vt:lpwstr>2</vt:lpwstr>
  </property>
</Properties>
</file>