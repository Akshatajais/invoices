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autoCompressPictures="0"/>
  <xr:revisionPtr revIDLastSave="0" documentId="8_{5E8638C1-0873-4FF8-874B-CF0330BFF93B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Format Dalmia Shil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 a="1"/>
  <c r="F21" i="1"/>
  <c r="D21" i="1" a="1"/>
  <c r="D21" i="1"/>
  <c r="F23" i="1" l="1" a="1"/>
  <c r="F23" i="1" s="1"/>
  <c r="F22" i="1" a="1"/>
  <c r="F22" i="1" s="1"/>
  <c r="F24" i="1" s="1" a="1"/>
  <c r="F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<sst xmlns="http://schemas.openxmlformats.org/spreadsheetml/2006/main" count="55" uniqueCount="55">
  <si>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>GODOWN BILL - Shahpur</t>
  </si>
  <si>
    <t xml:space="preserve">ORIGINAL FOR RECIPIENT </t>
  </si>
  <si>
    <t>TAX INVOICE</t>
  </si>
  <si>
    <t>Issued under CGST Act/IGST Act/SGST Act/UTGST Act,2017</t>
  </si>
  <si>
    <t>SERVICE PROVIDER</t>
  </si>
  <si>
    <t>RECIPIENT (Bill to)</t>
  </si>
  <si>
    <t xml:space="preserve">Tax Invoice No. :  </t>
  </si>
  <si>
    <t>SHJ/26-27/D</t>
  </si>
  <si>
    <t>Date of Invoice:</t>
  </si>
  <si>
    <t>Name:</t>
  </si>
  <si>
    <t>Sheela Jaiswal</t>
  </si>
  <si>
    <t>Dalmia Cement (Bharat) Limited</t>
  </si>
  <si>
    <t>Place :</t>
  </si>
  <si>
    <t>Daltonganj</t>
  </si>
  <si>
    <t>Add:</t>
  </si>
  <si>
    <t>Mathura Kunj, Nawatoli, Daltonganj
Jharkhand - 822101</t>
  </si>
  <si>
    <t>1st Floor, Landmark Apartment</t>
  </si>
  <si>
    <t>State :</t>
  </si>
  <si>
    <t>Jharkhand</t>
  </si>
  <si>
    <t>Road No. 5, Hawai Nagar, Ranchi</t>
  </si>
  <si>
    <t>Time Period:</t>
  </si>
  <si>
    <t>Jharkhand - 834003</t>
  </si>
  <si>
    <t xml:space="preserve">STATE CODE: </t>
  </si>
  <si>
    <t>STATE CODE: 20</t>
  </si>
  <si>
    <t xml:space="preserve">GSTIN : </t>
  </si>
  <si>
    <t>20ABRPJ0327R2ZF</t>
  </si>
  <si>
    <t>PAN NO. AADCA9414C</t>
  </si>
  <si>
    <t>PAN No:</t>
  </si>
  <si>
    <t>ABRPJ0327R</t>
  </si>
  <si>
    <t>GSTIN : 20AADCA9414C1ZD</t>
  </si>
  <si>
    <t xml:space="preserve">HSN :   </t>
  </si>
  <si>
    <t>DESCRIPTION OF SERVICE : GODOWN RENT</t>
  </si>
  <si>
    <t>SL #</t>
  </si>
  <si>
    <t>Particulars</t>
  </si>
  <si>
    <t>Qty/Area</t>
  </si>
  <si>
    <t>Rate</t>
  </si>
  <si>
    <t>Amount</t>
  </si>
  <si>
    <t>Gowdown Rent</t>
  </si>
  <si>
    <t>SGST @ 9 %</t>
  </si>
  <si>
    <t>CGST @ 9 %</t>
  </si>
  <si>
    <t>Total Invoice Value</t>
  </si>
  <si>
    <t>Amt in Word:</t>
  </si>
  <si>
    <t>Ninty One Thousand sixty seven only</t>
  </si>
  <si>
    <t>BANK DETAILS</t>
  </si>
  <si>
    <t>Bank Name</t>
  </si>
  <si>
    <t> HDFC Bank Ltd</t>
  </si>
  <si>
    <t>A/c Name</t>
  </si>
  <si>
    <t>SHEELA JAISWAL</t>
  </si>
  <si>
    <t xml:space="preserve">A/c No. </t>
  </si>
  <si>
    <t>Branch</t>
  </si>
  <si>
    <t>SECTOR 61 NOIDA</t>
  </si>
  <si>
    <t>IFSC</t>
  </si>
  <si>
    <t>HDFC0004263</t>
  </si>
  <si>
    <t>(AUTHORISED SIGNATORY)</t>
  </si>
  <si>
    <t>This is System Generated Invoice and does not require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</si>
</sst>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 &quot;* #,##0.000&quot; &quot;;&quot; &quot;* \(#,##0.000\);&quot; &quot;* &quot;-&quot;??&quot; &quot;"/>
    <numFmt numFmtId="165" formatCode="&quot; &quot;* #,##0.00&quot; &quot;;&quot;-&quot;* #,##0.00&quot; &quot;;&quot; &quot;* &quot;-&quot;??&quot; &quot;"/>
    <numFmt numFmtId="166" formatCode="0&quot; &quot;"/>
    <numFmt numFmtId="167" formatCode="&quot; &quot;* #,##0&quot; &quot;;&quot; &quot;* \(#,##0\);&quot; &quot;* &quot;-&quot;??&quot; &quot;"/>
    <numFmt numFmtId="168" formatCode="0.000"/>
    <numFmt numFmtId="169" formatCode="&quot; &quot;* #,##0.00&quot; &quot;;&quot; &quot;* \(#,##0.00\);&quot; &quot;* &quot;-&quot;??&quot; &quot;"/>
  </numFmts>
  <fonts count="9">
    <font>
      <sz val="11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sz val="10"/>
      <color indexed="8"/>
      <name val="Calibri"/>
    </font>
    <font>
      <b/>
      <sz val="11"/>
      <color indexed="8"/>
      <name val="Calibri"/>
    </font>
    <font>
      <b/>
      <sz val="9"/>
      <color indexed="8"/>
      <name val="Calibri"/>
    </font>
    <font>
      <sz val="9"/>
      <color indexed="8"/>
      <name val="Calibri"/>
    </font>
    <font>
      <b/>
      <sz val="11"/>
      <color indexed="12"/>
      <name val="Arial"/>
    </font>
    <font>
      <b/>
      <sz val="10"/>
      <color indexed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1"/>
      </left>
      <right/>
      <top style="medium">
        <color indexed="8"/>
      </top>
      <bottom/>
      <diagonal/>
    </border>
    <border>
      <left/>
      <right style="thin">
        <color indexed="11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18">
    <xf numFmtId="0" fontId="0" fillId="0" borderId="0" xfId="0" applyFont="1" applyAlignment="1"/>
    <xf numFmtId="0" fontId="0" fillId="0" borderId="0" xfId="0" applyNumberFormat="1" applyFont="1" applyAlignment="1"/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13" xfId="0" applyFont="1" applyFill="1" applyBorder="1" applyAlignment="1">
      <alignment vertical="center"/>
    </xf>
    <xf numFmtId="0" fontId="0" fillId="2" borderId="14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49" fontId="1" fillId="2" borderId="19" xfId="0" applyNumberFormat="1" applyFont="1" applyFill="1" applyBorder="1" applyAlignment="1">
      <alignment vertical="center"/>
    </xf>
    <xf numFmtId="0" fontId="0" fillId="2" borderId="20" xfId="0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vertical="center"/>
    </xf>
    <xf numFmtId="49" fontId="1" fillId="2" borderId="22" xfId="0" applyNumberFormat="1" applyFont="1" applyFill="1" applyBorder="1" applyAlignment="1">
      <alignment vertical="center"/>
    </xf>
    <xf numFmtId="0" fontId="0" fillId="0" borderId="19" xfId="0" applyFont="1" applyBorder="1" applyAlignment="1"/>
    <xf numFmtId="0" fontId="0" fillId="0" borderId="21" xfId="0" applyFont="1" applyBorder="1" applyAlignment="1"/>
    <xf numFmtId="49" fontId="2" fillId="2" borderId="20" xfId="0" applyNumberFormat="1" applyFont="1" applyFill="1" applyBorder="1" applyAlignment="1">
      <alignment vertical="center"/>
    </xf>
    <xf numFmtId="49" fontId="2" fillId="2" borderId="21" xfId="0" applyNumberFormat="1" applyFont="1" applyFill="1" applyBorder="1" applyAlignment="1">
      <alignment vertical="center"/>
    </xf>
    <xf numFmtId="49" fontId="3" fillId="2" borderId="21" xfId="0" applyNumberFormat="1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49" fontId="4" fillId="0" borderId="22" xfId="0" applyNumberFormat="1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2" borderId="22" xfId="0" applyFont="1" applyFill="1" applyBorder="1" applyAlignment="1">
      <alignment vertical="center"/>
    </xf>
    <xf numFmtId="0" fontId="0" fillId="2" borderId="23" xfId="0" applyFont="1" applyFill="1" applyBorder="1" applyAlignment="1">
      <alignment vertical="center"/>
    </xf>
    <xf numFmtId="0" fontId="0" fillId="2" borderId="24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0" fillId="2" borderId="20" xfId="0" applyNumberFormat="1" applyFont="1" applyFill="1" applyBorder="1" applyAlignment="1">
      <alignment horizontal="left" vertical="center"/>
    </xf>
    <xf numFmtId="49" fontId="0" fillId="0" borderId="20" xfId="0" applyNumberFormat="1" applyFont="1" applyBorder="1" applyAlignment="1"/>
    <xf numFmtId="49" fontId="1" fillId="2" borderId="21" xfId="0" applyNumberFormat="1" applyFont="1" applyFill="1" applyBorder="1" applyAlignment="1">
      <alignment vertical="center" wrapText="1"/>
    </xf>
    <xf numFmtId="49" fontId="0" fillId="2" borderId="20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0" fontId="0" fillId="2" borderId="25" xfId="0" applyNumberFormat="1" applyFont="1" applyFill="1" applyBorder="1" applyAlignment="1">
      <alignment horizontal="left" vertical="center"/>
    </xf>
    <xf numFmtId="0" fontId="4" fillId="2" borderId="26" xfId="0" applyFont="1" applyFill="1" applyBorder="1" applyAlignment="1">
      <alignment vertical="center"/>
    </xf>
    <xf numFmtId="0" fontId="0" fillId="2" borderId="27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49" fontId="5" fillId="2" borderId="28" xfId="0" applyNumberFormat="1" applyFont="1" applyFill="1" applyBorder="1" applyAlignment="1">
      <alignment vertical="center"/>
    </xf>
    <xf numFmtId="49" fontId="5" fillId="2" borderId="29" xfId="0" applyNumberFormat="1" applyFont="1" applyFill="1" applyBorder="1" applyAlignment="1">
      <alignment vertical="center"/>
    </xf>
    <xf numFmtId="164" fontId="5" fillId="2" borderId="30" xfId="0" applyNumberFormat="1" applyFont="1" applyFill="1" applyBorder="1" applyAlignment="1">
      <alignment vertical="center"/>
    </xf>
    <xf numFmtId="49" fontId="5" fillId="2" borderId="31" xfId="0" applyNumberFormat="1" applyFont="1" applyFill="1" applyBorder="1" applyAlignment="1">
      <alignment vertical="center"/>
    </xf>
    <xf numFmtId="49" fontId="5" fillId="2" borderId="32" xfId="0" applyNumberFormat="1" applyFont="1" applyFill="1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169" fontId="1" fillId="2" borderId="40" xfId="0" applyNumberFormat="1" applyFont="1" applyFill="1" applyBorder="1" applyAlignment="1">
      <alignment vertical="center"/>
    </xf>
    <xf numFmtId="164" fontId="5" fillId="2" borderId="40" xfId="0" applyNumberFormat="1" applyFont="1" applyFill="1" applyBorder="1" applyAlignment="1">
      <alignment vertical="center"/>
    </xf>
    <xf numFmtId="167" fontId="1" fillId="2" borderId="41" xfId="0" applyNumberFormat="1" applyFont="1" applyFill="1" applyBorder="1" applyAlignment="1">
      <alignment vertical="center"/>
    </xf>
    <xf numFmtId="0" fontId="0" fillId="2" borderId="17" xfId="0" applyFont="1" applyFill="1" applyBorder="1" applyAlignment="1">
      <alignment vertical="center"/>
    </xf>
    <xf numFmtId="49" fontId="1" fillId="2" borderId="40" xfId="0" applyNumberFormat="1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167" fontId="3" fillId="2" borderId="41" xfId="0" applyNumberFormat="1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0" fontId="0" fillId="2" borderId="25" xfId="0" applyFont="1" applyFill="1" applyBorder="1" applyAlignment="1">
      <alignment vertical="center"/>
    </xf>
    <xf numFmtId="49" fontId="4" fillId="2" borderId="42" xfId="0" applyNumberFormat="1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0" fillId="0" borderId="43" xfId="0" applyFont="1" applyBorder="1" applyAlignment="1"/>
    <xf numFmtId="0" fontId="0" fillId="0" borderId="17" xfId="0" applyFont="1" applyBorder="1" applyAlignment="1"/>
    <xf numFmtId="0" fontId="1" fillId="2" borderId="17" xfId="0" applyFont="1" applyFill="1" applyBorder="1" applyAlignment="1">
      <alignment vertical="center"/>
    </xf>
    <xf numFmtId="165" fontId="3" fillId="2" borderId="18" xfId="0" applyNumberFormat="1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165" fontId="3" fillId="2" borderId="24" xfId="0" applyNumberFormat="1" applyFont="1" applyFill="1" applyBorder="1" applyAlignment="1">
      <alignment vertical="center"/>
    </xf>
    <xf numFmtId="49" fontId="4" fillId="2" borderId="19" xfId="0" applyNumberFormat="1" applyFont="1" applyFill="1" applyBorder="1" applyAlignment="1">
      <alignment horizontal="left" vertical="top"/>
    </xf>
    <xf numFmtId="49" fontId="7" fillId="2" borderId="23" xfId="0" applyNumberFormat="1" applyFont="1" applyFill="1" applyBorder="1" applyAlignment="1">
      <alignment vertical="center" wrapText="1"/>
    </xf>
    <xf numFmtId="49" fontId="7" fillId="0" borderId="23" xfId="0" applyNumberFormat="1" applyFont="1" applyBorder="1" applyAlignment="1"/>
    <xf numFmtId="1" fontId="7" fillId="2" borderId="23" xfId="0" applyNumberFormat="1" applyFont="1" applyFill="1" applyBorder="1" applyAlignment="1">
      <alignment horizontal="left" vertical="center" wrapText="1"/>
    </xf>
    <xf numFmtId="49" fontId="7" fillId="2" borderId="23" xfId="0" applyNumberFormat="1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vertical="center"/>
    </xf>
    <xf numFmtId="49" fontId="1" fillId="2" borderId="23" xfId="0" applyNumberFormat="1" applyFont="1" applyFill="1" applyBorder="1" applyAlignment="1">
      <alignment vertical="center"/>
    </xf>
    <xf numFmtId="0" fontId="0" fillId="2" borderId="45" xfId="0" applyFont="1" applyFill="1" applyBorder="1" applyAlignment="1">
      <alignment vertical="center"/>
    </xf>
    <xf numFmtId="0" fontId="0" fillId="2" borderId="46" xfId="0" applyFont="1" applyFill="1" applyBorder="1" applyAlignment="1">
      <alignment vertical="center"/>
    </xf>
    <xf numFmtId="0" fontId="0" fillId="2" borderId="47" xfId="0" applyFont="1" applyFill="1" applyBorder="1" applyAlignment="1">
      <alignment vertical="center"/>
    </xf>
    <xf numFmtId="0" fontId="0" fillId="0" borderId="48" xfId="0" applyFont="1" applyBorder="1" applyAlignment="1"/>
    <xf numFmtId="0" fontId="0" fillId="0" borderId="2" xfId="0" applyFont="1" applyBorder="1" applyAlignment="1"/>
    <xf numFmtId="0" fontId="0" fillId="0" borderId="49" xfId="0" applyFont="1" applyBorder="1" applyAlignment="1"/>
    <xf numFmtId="49" fontId="1" fillId="2" borderId="50" xfId="0" applyNumberFormat="1" applyFont="1" applyFill="1" applyBorder="1" applyAlignment="1">
      <alignment horizontal="left" vertical="top"/>
    </xf>
    <xf numFmtId="0" fontId="0" fillId="0" borderId="51" xfId="0" applyFont="1" applyBorder="1" applyAlignment="1"/>
    <xf numFmtId="0" fontId="0" fillId="0" borderId="52" xfId="0" applyFont="1" applyBorder="1" applyAlignment="1"/>
    <xf numFmtId="49" fontId="4" fillId="0" borderId="44" xfId="0" applyNumberFormat="1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168" fontId="5" fillId="2" borderId="38" xfId="0" applyNumberFormat="1" applyFont="1" applyFill="1" applyBorder="1" applyAlignment="1">
      <alignment vertical="center"/>
    </xf>
    <xf numFmtId="168" fontId="5" fillId="2" borderId="39" xfId="0" applyNumberFormat="1" applyFont="1" applyFill="1" applyBorder="1" applyAlignment="1">
      <alignment vertical="center"/>
    </xf>
    <xf numFmtId="49" fontId="1" fillId="2" borderId="37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left" vertical="center"/>
    </xf>
    <xf numFmtId="165" fontId="0" fillId="2" borderId="33" xfId="0" applyNumberFormat="1" applyFont="1" applyFill="1" applyBorder="1" applyAlignment="1">
      <alignment horizontal="left" vertical="center"/>
    </xf>
    <xf numFmtId="165" fontId="0" fillId="2" borderId="5" xfId="0" applyNumberFormat="1" applyFont="1" applyFill="1" applyBorder="1" applyAlignment="1">
      <alignment horizontal="left" vertical="center"/>
    </xf>
    <xf numFmtId="165" fontId="0" fillId="2" borderId="25" xfId="0" applyNumberFormat="1" applyFont="1" applyFill="1" applyBorder="1" applyAlignment="1">
      <alignment horizontal="left" vertical="center"/>
    </xf>
    <xf numFmtId="166" fontId="6" fillId="2" borderId="34" xfId="0" applyNumberFormat="1" applyFont="1" applyFill="1" applyBorder="1" applyAlignment="1">
      <alignment horizontal="center" vertical="center"/>
    </xf>
    <xf numFmtId="166" fontId="6" fillId="2" borderId="26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26" xfId="0" applyNumberFormat="1" applyFont="1" applyFill="1" applyBorder="1" applyAlignment="1">
      <alignment horizontal="center" vertical="center"/>
    </xf>
    <xf numFmtId="167" fontId="6" fillId="2" borderId="35" xfId="0" applyNumberFormat="1" applyFont="1" applyFill="1" applyBorder="1" applyAlignment="1">
      <alignment horizontal="center" vertical="center"/>
    </xf>
    <xf numFmtId="167" fontId="6" fillId="2" borderId="36" xfId="0" applyNumberFormat="1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49" fontId="0" fillId="2" borderId="23" xfId="0" applyNumberFormat="1" applyFont="1" applyFill="1" applyBorder="1" applyAlignment="1">
      <alignment horizontal="left" vertical="top"/>
    </xf>
    <xf numFmtId="49" fontId="3" fillId="2" borderId="20" xfId="0" applyNumberFormat="1" applyFont="1" applyFill="1" applyBorder="1" applyAlignment="1">
      <alignment horizontal="left" vertical="top" wrapText="1"/>
    </xf>
    <xf numFmtId="0" fontId="3" fillId="2" borderId="20" xfId="0" applyFont="1" applyFill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FFFFFF"/>
      <rgbColor rgb="FFAAAAAA"/>
      <rgbColor rgb="FF222222"/>
      <rgbColor rgb="FF0070C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28</xdr:row>
      <xdr:rowOff>85725</xdr:rowOff>
    </xdr:from>
    <xdr:to>
      <xdr:col>5</xdr:col>
      <xdr:colOff>47625</xdr:colOff>
      <xdr:row>29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7FF63-EE3E-73F6-EBFA-FB81687A9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5" y="4933950"/>
          <a:ext cx="15144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topLeftCell="A13" workbookViewId="0">
      <selection activeCell="D29" sqref="D29:E30"/>
    </sheetView>
  </sheetViews>
  <sheetFormatPr defaultColWidth="8.85546875" defaultRowHeight="14.25" customHeight="1"/>
  <cols>
    <col min="1" max="1" width="10.42578125" style="1" customWidth="1"/>
    <col min="2" max="2" width="28.140625" style="1" customWidth="1"/>
    <col min="3" max="3" width="26.140625" style="1" customWidth="1"/>
    <col min="4" max="4" width="15.140625" style="1" customWidth="1"/>
    <col min="5" max="5" width="6.85546875" style="1" customWidth="1"/>
    <col min="6" max="6" width="8.140625" style="1" customWidth="1"/>
    <col min="7" max="7" width="8.85546875" style="1" customWidth="1"/>
    <col min="8" max="16384" width="8.85546875" style="1"/>
  </cols>
  <sheetData>
    <row r="1" spans="1:6" ht="14.25" customHeight="1">
      <c r="A1" s="109" t="s">
        <v>0</v>
      </c>
      <c r="B1" s="110"/>
      <c r="C1" s="2"/>
      <c r="D1" s="2"/>
      <c r="E1" s="2"/>
      <c r="F1" s="3"/>
    </row>
    <row r="2" spans="1:6" ht="13.7" customHeight="1">
      <c r="A2" s="4"/>
      <c r="B2" s="5"/>
      <c r="C2" s="5"/>
      <c r="D2" s="111" t="s">
        <v>1</v>
      </c>
      <c r="E2" s="112"/>
      <c r="F2" s="113"/>
    </row>
    <row r="3" spans="1:6" ht="14.65" customHeight="1">
      <c r="A3" s="114" t="s">
        <v>2</v>
      </c>
      <c r="B3" s="115"/>
      <c r="C3" s="115"/>
      <c r="D3" s="115"/>
      <c r="E3" s="115"/>
      <c r="F3" s="116"/>
    </row>
    <row r="4" spans="1:6" ht="14.25" customHeight="1">
      <c r="A4" s="103" t="s">
        <v>3</v>
      </c>
      <c r="B4" s="104"/>
      <c r="C4" s="104"/>
      <c r="D4" s="104"/>
      <c r="E4" s="104"/>
      <c r="F4" s="105"/>
    </row>
    <row r="5" spans="1:6" ht="13.7" customHeight="1">
      <c r="A5" s="6"/>
      <c r="B5" s="7"/>
      <c r="C5" s="8"/>
      <c r="D5" s="106"/>
      <c r="E5" s="107"/>
      <c r="F5" s="108"/>
    </row>
    <row r="6" spans="1:6" ht="13.7" customHeight="1">
      <c r="A6" s="9" t="s">
        <v>4</v>
      </c>
      <c r="B6" s="10"/>
      <c r="C6" s="11" t="s">
        <v>5</v>
      </c>
      <c r="D6" s="12" t="s">
        <v>6</v>
      </c>
      <c r="E6" s="100" t="s">
        <v>7</v>
      </c>
      <c r="F6" s="99"/>
    </row>
    <row r="7" spans="1:6" ht="13.7" customHeight="1">
      <c r="A7" s="13"/>
      <c r="B7" s="10"/>
      <c r="C7" s="14"/>
      <c r="D7" s="12" t="s">
        <v>8</v>
      </c>
      <c r="E7" s="98"/>
      <c r="F7" s="99"/>
    </row>
    <row r="8" spans="1:6" ht="15.75" customHeight="1">
      <c r="A8" s="9" t="s">
        <v>9</v>
      </c>
      <c r="B8" s="15" t="s">
        <v>10</v>
      </c>
      <c r="C8" s="16" t="s">
        <v>11</v>
      </c>
      <c r="D8" s="12" t="s">
        <v>12</v>
      </c>
      <c r="E8" s="100" t="s">
        <v>13</v>
      </c>
      <c r="F8" s="99"/>
    </row>
    <row r="9" spans="1:6" ht="14.45" customHeight="1">
      <c r="A9" s="9" t="s">
        <v>14</v>
      </c>
      <c r="B9" s="101" t="s">
        <v>15</v>
      </c>
      <c r="C9" s="17" t="s">
        <v>16</v>
      </c>
      <c r="D9" s="12" t="s">
        <v>17</v>
      </c>
      <c r="E9" s="100" t="s">
        <v>18</v>
      </c>
      <c r="F9" s="99"/>
    </row>
    <row r="10" spans="1:6" ht="14.45" customHeight="1">
      <c r="A10" s="18"/>
      <c r="B10" s="102"/>
      <c r="C10" s="17" t="s">
        <v>19</v>
      </c>
      <c r="D10" s="19" t="s">
        <v>20</v>
      </c>
      <c r="E10" s="20"/>
      <c r="F10" s="21"/>
    </row>
    <row r="11" spans="1:6" ht="14.45" customHeight="1">
      <c r="A11" s="18"/>
      <c r="B11" s="102"/>
      <c r="C11" s="17" t="s">
        <v>21</v>
      </c>
      <c r="D11" s="22"/>
      <c r="E11" s="23"/>
      <c r="F11" s="24"/>
    </row>
    <row r="12" spans="1:6" ht="13.7" customHeight="1">
      <c r="A12" s="18"/>
      <c r="B12" s="25"/>
      <c r="C12" s="26"/>
      <c r="D12" s="22"/>
      <c r="E12" s="23"/>
      <c r="F12" s="24"/>
    </row>
    <row r="13" spans="1:6" ht="13.7" customHeight="1">
      <c r="A13" s="9" t="s">
        <v>22</v>
      </c>
      <c r="B13" s="27">
        <v>20</v>
      </c>
      <c r="C13" s="11" t="s">
        <v>23</v>
      </c>
      <c r="D13" s="22"/>
      <c r="E13" s="23"/>
      <c r="F13" s="24"/>
    </row>
    <row r="14" spans="1:6" ht="13.7" customHeight="1">
      <c r="A14" s="9" t="s">
        <v>24</v>
      </c>
      <c r="B14" s="28" t="s">
        <v>25</v>
      </c>
      <c r="C14" s="29" t="s">
        <v>26</v>
      </c>
      <c r="D14" s="22"/>
      <c r="E14" s="23"/>
      <c r="F14" s="24"/>
    </row>
    <row r="15" spans="1:6" ht="13.7" customHeight="1">
      <c r="A15" s="9" t="s">
        <v>27</v>
      </c>
      <c r="B15" s="30" t="s">
        <v>28</v>
      </c>
      <c r="C15" s="29" t="s">
        <v>29</v>
      </c>
      <c r="D15" s="22"/>
      <c r="E15" s="23"/>
      <c r="F15" s="24"/>
    </row>
    <row r="16" spans="1:6" ht="13.7" customHeight="1">
      <c r="A16" s="31" t="s">
        <v>30</v>
      </c>
      <c r="B16" s="32">
        <v>997212</v>
      </c>
      <c r="C16" s="33"/>
      <c r="D16" s="34"/>
      <c r="E16" s="5"/>
      <c r="F16" s="35"/>
    </row>
    <row r="17" spans="1:6" ht="14.65" customHeight="1">
      <c r="A17" s="83" t="s">
        <v>31</v>
      </c>
      <c r="B17" s="84"/>
      <c r="C17" s="84"/>
      <c r="D17" s="84"/>
      <c r="E17" s="84"/>
      <c r="F17" s="85"/>
    </row>
    <row r="18" spans="1:6" ht="14.65" customHeight="1">
      <c r="A18" s="36" t="s">
        <v>32</v>
      </c>
      <c r="B18" s="37" t="s">
        <v>33</v>
      </c>
      <c r="C18" s="38"/>
      <c r="D18" s="39" t="s">
        <v>34</v>
      </c>
      <c r="E18" s="39" t="s">
        <v>35</v>
      </c>
      <c r="F18" s="40" t="s">
        <v>36</v>
      </c>
    </row>
    <row r="19" spans="1:6" ht="9" customHeight="1">
      <c r="A19" s="86">
        <v>1</v>
      </c>
      <c r="B19" s="88" t="s">
        <v>37</v>
      </c>
      <c r="C19" s="89"/>
      <c r="D19" s="92"/>
      <c r="E19" s="94"/>
      <c r="F19" s="96">
        <v>77175</v>
      </c>
    </row>
    <row r="20" spans="1:6" ht="8.4499999999999993" customHeight="1">
      <c r="A20" s="87"/>
      <c r="B20" s="90"/>
      <c r="C20" s="91"/>
      <c r="D20" s="93"/>
      <c r="E20" s="95"/>
      <c r="F20" s="97"/>
    </row>
    <row r="21" spans="1:6" ht="14.65" customHeight="1">
      <c r="A21" s="41"/>
      <c r="B21" s="79"/>
      <c r="C21" s="80"/>
      <c r="D21" s="42" cm="1">
        <f t="array" ref="D21">D19</f>
        <v>0</v>
      </c>
      <c r="E21" s="43"/>
      <c r="F21" s="44" cm="1">
        <f t="array" ref="F21">SUM(F19:F20)</f>
        <v>77175</v>
      </c>
    </row>
    <row r="22" spans="1:6" ht="14.65" customHeight="1">
      <c r="A22" s="6"/>
      <c r="B22" s="45"/>
      <c r="C22" s="7"/>
      <c r="D22" s="46" t="s">
        <v>38</v>
      </c>
      <c r="E22" s="47"/>
      <c r="F22" s="48" cm="1">
        <f t="array" ref="F22">F21*9%</f>
        <v>6945.75</v>
      </c>
    </row>
    <row r="23" spans="1:6" ht="14.65" customHeight="1">
      <c r="A23" s="49"/>
      <c r="B23" s="23"/>
      <c r="C23" s="10"/>
      <c r="D23" s="46" t="s">
        <v>39</v>
      </c>
      <c r="E23" s="47"/>
      <c r="F23" s="48" cm="1">
        <f t="array" ref="F23">F21*9%</f>
        <v>6945.75</v>
      </c>
    </row>
    <row r="24" spans="1:6" ht="15" customHeight="1">
      <c r="A24" s="4"/>
      <c r="B24" s="5"/>
      <c r="C24" s="50"/>
      <c r="D24" s="46" t="s">
        <v>40</v>
      </c>
      <c r="E24" s="47"/>
      <c r="F24" s="44" cm="1">
        <f t="array" ref="F24">ROUND(SUM(F21:F23),0)</f>
        <v>91067</v>
      </c>
    </row>
    <row r="25" spans="1:6" ht="14.65" customHeight="1">
      <c r="A25" s="81" t="s">
        <v>41</v>
      </c>
      <c r="B25" s="82"/>
      <c r="C25" s="51" t="s">
        <v>42</v>
      </c>
      <c r="D25" s="52"/>
      <c r="E25" s="53"/>
      <c r="F25" s="54"/>
    </row>
    <row r="26" spans="1:6" ht="13.7" customHeight="1">
      <c r="A26" s="55"/>
      <c r="B26" s="56"/>
      <c r="C26" s="45"/>
      <c r="D26" s="57"/>
      <c r="E26" s="45"/>
      <c r="F26" s="58"/>
    </row>
    <row r="27" spans="1:6" ht="13.7" customHeight="1">
      <c r="A27" s="77" t="s">
        <v>43</v>
      </c>
      <c r="B27" s="78"/>
      <c r="C27" s="23"/>
      <c r="D27" s="59"/>
      <c r="E27" s="23"/>
      <c r="F27" s="60"/>
    </row>
    <row r="28" spans="1:6" ht="14.65" customHeight="1">
      <c r="A28" s="61" t="s">
        <v>44</v>
      </c>
      <c r="B28" s="62" t="s">
        <v>45</v>
      </c>
      <c r="C28" s="23"/>
      <c r="E28" s="23"/>
      <c r="F28" s="60"/>
    </row>
    <row r="29" spans="1:6" ht="14.65" customHeight="1">
      <c r="A29" s="61" t="s">
        <v>46</v>
      </c>
      <c r="B29" s="63" t="s">
        <v>47</v>
      </c>
      <c r="C29" s="23"/>
      <c r="D29" s="117"/>
      <c r="E29" s="117"/>
      <c r="F29" s="60"/>
    </row>
    <row r="30" spans="1:6" ht="14.65" customHeight="1">
      <c r="A30" s="61" t="s">
        <v>48</v>
      </c>
      <c r="B30" s="64">
        <v>50100769845037</v>
      </c>
      <c r="C30" s="59"/>
      <c r="D30" s="117"/>
      <c r="E30" s="117"/>
      <c r="F30" s="24"/>
    </row>
    <row r="31" spans="1:6" ht="14.65" customHeight="1">
      <c r="A31" s="61" t="s">
        <v>49</v>
      </c>
      <c r="B31" s="65" t="s">
        <v>50</v>
      </c>
      <c r="C31" s="66"/>
      <c r="D31" s="23"/>
      <c r="E31" s="23"/>
      <c r="F31" s="24"/>
    </row>
    <row r="32" spans="1:6" ht="14.65" customHeight="1">
      <c r="A32" s="61" t="s">
        <v>51</v>
      </c>
      <c r="B32" s="65" t="s">
        <v>52</v>
      </c>
      <c r="C32" s="66"/>
      <c r="D32" s="67" t="s">
        <v>53</v>
      </c>
      <c r="E32" s="23"/>
      <c r="F32" s="24"/>
    </row>
    <row r="33" spans="1:6" ht="14.65" customHeight="1">
      <c r="A33" s="68"/>
      <c r="B33" s="69"/>
      <c r="C33" s="69"/>
      <c r="D33" s="69"/>
      <c r="E33" s="69"/>
      <c r="F33" s="70"/>
    </row>
    <row r="34" spans="1:6" ht="14.1" customHeight="1">
      <c r="A34" s="71"/>
      <c r="B34" s="72"/>
      <c r="C34" s="72"/>
      <c r="D34" s="72"/>
      <c r="E34" s="72"/>
      <c r="F34" s="73"/>
    </row>
    <row r="35" spans="1:6" ht="13.7" customHeight="1">
      <c r="A35" s="74" t="s">
        <v>54</v>
      </c>
      <c r="B35" s="75"/>
      <c r="C35" s="75"/>
      <c r="D35" s="75"/>
      <c r="E35" s="75"/>
      <c r="F35" s="76"/>
    </row>
  </sheetData>
  <mergeCells count="20">
    <mergeCell ref="A1:B1"/>
    <mergeCell ref="D2:F2"/>
    <mergeCell ref="A3:F3"/>
    <mergeCell ref="D29:E30"/>
    <mergeCell ref="E7:F7"/>
    <mergeCell ref="E8:F8"/>
    <mergeCell ref="B9:B11"/>
    <mergeCell ref="E9:F9"/>
    <mergeCell ref="A4:F4"/>
    <mergeCell ref="D5:F5"/>
    <mergeCell ref="E6:F6"/>
    <mergeCell ref="A27:B27"/>
    <mergeCell ref="B21:C21"/>
    <mergeCell ref="A25:B25"/>
    <mergeCell ref="A17:F17"/>
    <mergeCell ref="A19:A20"/>
    <mergeCell ref="B19:C20"/>
    <mergeCell ref="D19:D20"/>
    <mergeCell ref="E19:E20"/>
    <mergeCell ref="F19:F20"/>
  </mergeCells>
  <pageMargins left="0.7" right="0.7" top="0.75" bottom="0.75" header="0.3" footer="0.3"/>
  <pageSetup orientation="portrait"/>
  <headerFooter>
    <oddFooter>&amp;C&amp;"Calibri,Regular"&amp;11&amp;K000000
&amp;"Arial,Regular"&amp;7&amp;K7F7F7F General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2026-10-04T16:14:44Z</dcterms:created>
  <dcterms:modified xsi:type="dcterms:W3CDTF">2026-10-04T16:14:44Z</dcterms:modified>
  <cp:category/>
  <cp:contentStatus/>
</cp:coreProperties>
</file>